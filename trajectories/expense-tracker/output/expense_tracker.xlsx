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Instructions" sheetId="1" state="visible" r:id="rId1"/>
    <sheet name="Expenses" sheetId="2" state="visible" r:id="rId2"/>
    <sheet name="Summary" sheetId="3" state="visible" r:id="rId3"/>
    <sheet name="Categories" sheetId="4" state="visible" r:id="rId4"/>
  </sheets>
  <definedNames>
    <definedName name="CategoryList">Categories!$A$2:$A$11</definedName>
    <definedName name="PaymentList">Categories!$D$2:$D$5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&quot;$&quot;#,##0.00"/>
    <numFmt numFmtId="166" formatCode="mmmm yyyy"/>
    <numFmt numFmtId="167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sz val="11"/>
    </font>
    <font>
      <name val="Calibri"/>
      <sz val="11"/>
    </font>
    <font>
      <name val="Calibri"/>
      <b val="1"/>
      <color rgb="001F3A5F"/>
      <sz val="12"/>
    </font>
    <font>
      <name val="Consolas"/>
      <sz val="10"/>
    </font>
    <font>
      <name val="Calibri"/>
      <b val="1"/>
      <color rgb="00FFFFFF"/>
      <sz val="11"/>
    </font>
    <font>
      <name val="Calibri"/>
      <b val="1"/>
      <color rgb="001F3A5F"/>
      <sz val="14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164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3" fillId="0" borderId="1" pivotButton="0" quotePrefix="0" xfId="0"/>
    <xf numFmtId="165" fontId="3" fillId="0" borderId="1" applyAlignment="1" pivotButton="0" quotePrefix="0" xfId="0">
      <alignment horizontal="right"/>
    </xf>
    <xf numFmtId="166" fontId="3" fillId="0" borderId="0" pivotButton="0" quotePrefix="0" xfId="0"/>
    <xf numFmtId="164" fontId="3" fillId="0" borderId="0" pivotButton="0" quotePrefix="0" xfId="0"/>
    <xf numFmtId="0" fontId="6" fillId="2" borderId="0" applyAlignment="1" pivotButton="0" quotePrefix="0" xfId="0">
      <alignment horizontal="center" vertical="center"/>
    </xf>
    <xf numFmtId="165" fontId="7" fillId="3" borderId="0" applyAlignment="1" pivotButton="0" quotePrefix="0" xfId="0">
      <alignment horizontal="center" vertical="center"/>
    </xf>
    <xf numFmtId="1" fontId="7" fillId="3" borderId="0" applyAlignment="1" pivotButton="0" quotePrefix="0" xfId="0">
      <alignment horizontal="center" vertical="center"/>
    </xf>
    <xf numFmtId="167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165" fontId="2" fillId="3" borderId="1" applyAlignment="1" pivotButton="0" quotePrefix="0" xfId="0">
      <alignment horizontal="right"/>
    </xf>
    <xf numFmtId="167" fontId="2" fillId="3" borderId="1" applyAlignment="1" pivotButton="0" quotePrefix="0" xfId="0">
      <alignment horizontal="right"/>
    </xf>
    <xf numFmtId="0" fontId="3" fillId="0" borderId="0" pivotButton="0" quotePrefix="0" xfId="0"/>
    <xf numFmtId="1" fontId="3" fillId="0" borderId="0" pivotButton="0" quotePrefix="0" xfId="0"/>
    <xf numFmtId="165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Share of Spending by Category</a:t>
            </a:r>
          </a:p>
        </rich>
      </tx>
    </title>
    <plotArea>
      <pieChart>
        <varyColors val="1"/>
        <ser>
          <idx val="0"/>
          <order val="0"/>
          <tx>
            <strRef>
              <f>'Summary'!B11</f>
            </strRef>
          </tx>
          <spPr>
            <a:ln>
              <a:prstDash val="solid"/>
            </a:ln>
          </spPr>
          <cat>
            <numRef>
              <f>'Summary'!$A$12:$A$21</f>
            </numRef>
          </cat>
          <val>
            <numRef>
              <f>'Summary'!$B$12:$B$21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9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xpensesTbl" displayName="ExpensesTbl" ref="A1:F23" headerRowCount="1">
  <autoFilter ref="A1:F23"/>
  <tableColumns count="6">
    <tableColumn id="1" name="Date"/>
    <tableColumn id="2" name="Category"/>
    <tableColumn id="3" name="Description"/>
    <tableColumn id="4" name="Payment Method"/>
    <tableColumn id="5" name="Amount"/>
    <tableColumn id="6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2" customHeight="1">
      <c r="A1" s="1" t="inlineStr">
        <is>
          <t>Simple Expense Tracker — How to Use</t>
        </is>
      </c>
    </row>
    <row r="3" ht="32" customHeight="1">
      <c r="A3" s="2" t="inlineStr">
        <is>
          <t>1.</t>
        </is>
      </c>
      <c r="B3" s="3" t="inlineStr">
        <is>
          <t>Open the Expenses sheet and add one row per expense.</t>
        </is>
      </c>
    </row>
    <row r="4" ht="32" customHeight="1">
      <c r="A4" s="2" t="inlineStr">
        <is>
          <t>2.</t>
        </is>
      </c>
      <c r="B4" s="3" t="inlineStr">
        <is>
          <t>Pick a Category and Payment Method from the dropdowns. The dropdowns are driven by the Categories sheet — edit that sheet to add or rename categories.</t>
        </is>
      </c>
    </row>
    <row r="5" ht="32" customHeight="1">
      <c r="A5" s="2" t="inlineStr">
        <is>
          <t>3.</t>
        </is>
      </c>
      <c r="B5" s="3" t="inlineStr">
        <is>
          <t>Enter the Amount as a positive number. Negative numbers are blocked.</t>
        </is>
      </c>
    </row>
    <row r="6" ht="32" customHeight="1">
      <c r="A6" s="2" t="inlineStr">
        <is>
          <t>4.</t>
        </is>
      </c>
      <c r="B6" s="3" t="inlineStr">
        <is>
          <t>Open the Summary sheet to see totals, by-category spend, budget vs actual, and the share-of-spending pie chart.</t>
        </is>
      </c>
    </row>
    <row r="7" ht="32" customHeight="1">
      <c r="A7" s="2" t="inlineStr">
        <is>
          <t>5.</t>
        </is>
      </c>
      <c r="B7" s="3" t="inlineStr">
        <is>
          <t>Set your monthly budget per category in column B of the Categories sheet. The Summary sheet will flag categories that are over budget.</t>
        </is>
      </c>
    </row>
    <row r="8" ht="32" customHeight="1">
      <c r="A8" s="2" t="inlineStr">
        <is>
          <t>6.</t>
        </is>
      </c>
      <c r="B8" s="3" t="inlineStr">
        <is>
          <t>To reuse the workbook for a new month, copy the file, then clear the rows under the headers on the Expenses sheet.</t>
        </is>
      </c>
    </row>
    <row r="10">
      <c r="A10" s="4" t="inlineStr">
        <is>
          <t>Formulas used</t>
        </is>
      </c>
    </row>
    <row r="11">
      <c r="A11" s="2" t="inlineStr">
        <is>
          <t>Total spent</t>
        </is>
      </c>
      <c r="B11" s="5">
        <f>SUM(ExpensesTbl[Amount])</f>
        <v/>
      </c>
    </row>
    <row r="12">
      <c r="A12" s="2" t="inlineStr">
        <is>
          <t>Spent per category</t>
        </is>
      </c>
      <c r="B12" s="5">
        <f>SUMIF(ExpensesTbl[Category], &lt;category&gt;, ExpensesTbl[Amount])</f>
        <v/>
      </c>
    </row>
    <row r="13">
      <c r="A13" s="2" t="inlineStr">
        <is>
          <t>Budget per category</t>
        </is>
      </c>
      <c r="B13" s="5">
        <f>VLOOKUP(&lt;category&gt;, Categories!A:B, 2, FALSE)</f>
        <v/>
      </c>
    </row>
    <row r="14">
      <c r="A14" s="2" t="inlineStr">
        <is>
          <t>Top category</t>
        </is>
      </c>
      <c r="B14" s="5">
        <f>INDEX(&lt;cat range&gt;, MATCH(MAX(&lt;spent range&gt;), &lt;spent range&gt;, 0))</f>
        <v/>
      </c>
    </row>
    <row r="15">
      <c r="A15" s="2" t="inlineStr">
        <is>
          <t>Over-budget count</t>
        </is>
      </c>
      <c r="B15" s="5">
        <f>COUNTIF(&lt;remaining range&gt;, "&lt;0")</f>
        <v/>
      </c>
    </row>
  </sheetData>
  <mergeCells count="12">
    <mergeCell ref="B8:E8"/>
    <mergeCell ref="B4:E4"/>
    <mergeCell ref="B12:E12"/>
    <mergeCell ref="B13:E13"/>
    <mergeCell ref="B6:E6"/>
    <mergeCell ref="B15:E15"/>
    <mergeCell ref="B7:E7"/>
    <mergeCell ref="A1:E1"/>
    <mergeCell ref="B11:E11"/>
    <mergeCell ref="B3:E3"/>
    <mergeCell ref="B5:E5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18" customWidth="1" min="4" max="4"/>
    <col width="12" customWidth="1" min="5" max="5"/>
    <col width="28" customWidth="1" min="6" max="6"/>
  </cols>
  <sheetData>
    <row r="1" ht="22" customHeight="1">
      <c r="A1" s="6" t="inlineStr">
        <is>
          <t>Date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Payment Method</t>
        </is>
      </c>
      <c r="E1" s="6" t="inlineStr">
        <is>
          <t>Amount</t>
        </is>
      </c>
      <c r="F1" s="6" t="inlineStr">
        <is>
          <t>Notes</t>
        </is>
      </c>
    </row>
    <row r="2">
      <c r="A2" s="7" t="n">
        <v>46143</v>
      </c>
      <c r="B2" s="8" t="inlineStr">
        <is>
          <t>Rent</t>
        </is>
      </c>
      <c r="C2" s="9" t="inlineStr">
        <is>
          <t>May rent</t>
        </is>
      </c>
      <c r="D2" s="8" t="inlineStr">
        <is>
          <t>Bank Transfer</t>
        </is>
      </c>
      <c r="E2" s="10" t="n">
        <v>1450</v>
      </c>
      <c r="F2" s="9" t="inlineStr"/>
    </row>
    <row r="3">
      <c r="A3" s="7" t="n">
        <v>46144</v>
      </c>
      <c r="B3" s="8" t="inlineStr">
        <is>
          <t>Groceries</t>
        </is>
      </c>
      <c r="C3" s="9" t="inlineStr">
        <is>
          <t>Weekly shop</t>
        </is>
      </c>
      <c r="D3" s="8" t="inlineStr">
        <is>
          <t>Debit Card</t>
        </is>
      </c>
      <c r="E3" s="10" t="n">
        <v>82.45</v>
      </c>
      <c r="F3" s="9" t="inlineStr"/>
    </row>
    <row r="4">
      <c r="A4" s="7" t="n">
        <v>46145</v>
      </c>
      <c r="B4" s="8" t="inlineStr">
        <is>
          <t>Dining Out</t>
        </is>
      </c>
      <c r="C4" s="9" t="inlineStr">
        <is>
          <t>Brunch with Sam</t>
        </is>
      </c>
      <c r="D4" s="8" t="inlineStr">
        <is>
          <t>Credit Card</t>
        </is>
      </c>
      <c r="E4" s="10" t="n">
        <v>34.1</v>
      </c>
      <c r="F4" s="9" t="inlineStr"/>
    </row>
    <row r="5">
      <c r="A5" s="7" t="n">
        <v>46146</v>
      </c>
      <c r="B5" s="8" t="inlineStr">
        <is>
          <t>Transport</t>
        </is>
      </c>
      <c r="C5" s="9" t="inlineStr">
        <is>
          <t>Metro card top-up</t>
        </is>
      </c>
      <c r="D5" s="8" t="inlineStr">
        <is>
          <t>Debit Card</t>
        </is>
      </c>
      <c r="E5" s="10" t="n">
        <v>40</v>
      </c>
      <c r="F5" s="9" t="inlineStr"/>
    </row>
    <row r="6">
      <c r="A6" s="7" t="n">
        <v>46147</v>
      </c>
      <c r="B6" s="8" t="inlineStr">
        <is>
          <t>Utilities</t>
        </is>
      </c>
      <c r="C6" s="9" t="inlineStr">
        <is>
          <t>Electricity bill</t>
        </is>
      </c>
      <c r="D6" s="8" t="inlineStr">
        <is>
          <t>Bank Transfer</t>
        </is>
      </c>
      <c r="E6" s="10" t="n">
        <v>78.2</v>
      </c>
      <c r="F6" s="9" t="inlineStr"/>
    </row>
    <row r="7">
      <c r="A7" s="7" t="n">
        <v>46148</v>
      </c>
      <c r="B7" s="8" t="inlineStr">
        <is>
          <t>Subscriptions</t>
        </is>
      </c>
      <c r="C7" s="9" t="inlineStr">
        <is>
          <t>Streaming service</t>
        </is>
      </c>
      <c r="D7" s="8" t="inlineStr">
        <is>
          <t>Credit Card</t>
        </is>
      </c>
      <c r="E7" s="10" t="n">
        <v>14.99</v>
      </c>
      <c r="F7" s="9" t="inlineStr"/>
    </row>
    <row r="8">
      <c r="A8" s="7" t="n">
        <v>46150</v>
      </c>
      <c r="B8" s="8" t="inlineStr">
        <is>
          <t>Groceries</t>
        </is>
      </c>
      <c r="C8" s="9" t="inlineStr">
        <is>
          <t>Mid-week top-up</t>
        </is>
      </c>
      <c r="D8" s="8" t="inlineStr">
        <is>
          <t>Debit Card</t>
        </is>
      </c>
      <c r="E8" s="10" t="n">
        <v>26.3</v>
      </c>
      <c r="F8" s="9" t="inlineStr"/>
    </row>
    <row r="9">
      <c r="A9" s="7" t="n">
        <v>46151</v>
      </c>
      <c r="B9" s="8" t="inlineStr">
        <is>
          <t>Entertainment</t>
        </is>
      </c>
      <c r="C9" s="9" t="inlineStr">
        <is>
          <t>Cinema</t>
        </is>
      </c>
      <c r="D9" s="8" t="inlineStr">
        <is>
          <t>Credit Card</t>
        </is>
      </c>
      <c r="E9" s="10" t="n">
        <v>22</v>
      </c>
      <c r="F9" s="9" t="inlineStr"/>
    </row>
    <row r="10">
      <c r="A10" s="7" t="n">
        <v>46152</v>
      </c>
      <c r="B10" s="8" t="inlineStr">
        <is>
          <t>Dining Out</t>
        </is>
      </c>
      <c r="C10" s="9" t="inlineStr">
        <is>
          <t>Pizza night</t>
        </is>
      </c>
      <c r="D10" s="8" t="inlineStr">
        <is>
          <t>Cash</t>
        </is>
      </c>
      <c r="E10" s="10" t="n">
        <v>18.5</v>
      </c>
      <c r="F10" s="9" t="inlineStr"/>
    </row>
    <row r="11">
      <c r="A11" s="7" t="n">
        <v>46154</v>
      </c>
      <c r="B11" s="8" t="inlineStr">
        <is>
          <t>Health</t>
        </is>
      </c>
      <c r="C11" s="9" t="inlineStr">
        <is>
          <t>Pharmacy</t>
        </is>
      </c>
      <c r="D11" s="8" t="inlineStr">
        <is>
          <t>Debit Card</t>
        </is>
      </c>
      <c r="E11" s="10" t="n">
        <v>15.75</v>
      </c>
      <c r="F11" s="9" t="inlineStr"/>
    </row>
    <row r="12">
      <c r="A12" s="7" t="n">
        <v>46155</v>
      </c>
      <c r="B12" s="8" t="inlineStr">
        <is>
          <t>Transport</t>
        </is>
      </c>
      <c r="C12" s="9" t="inlineStr">
        <is>
          <t>Rideshare home</t>
        </is>
      </c>
      <c r="D12" s="8" t="inlineStr">
        <is>
          <t>Credit Card</t>
        </is>
      </c>
      <c r="E12" s="10" t="n">
        <v>12.4</v>
      </c>
      <c r="F12" s="9" t="inlineStr"/>
    </row>
    <row r="13">
      <c r="A13" s="7" t="n">
        <v>46157</v>
      </c>
      <c r="B13" s="8" t="inlineStr">
        <is>
          <t>Groceries</t>
        </is>
      </c>
      <c r="C13" s="9" t="inlineStr">
        <is>
          <t>Weekly shop</t>
        </is>
      </c>
      <c r="D13" s="8" t="inlineStr">
        <is>
          <t>Debit Card</t>
        </is>
      </c>
      <c r="E13" s="10" t="n">
        <v>94.09999999999999</v>
      </c>
      <c r="F13" s="9" t="inlineStr"/>
    </row>
    <row r="14">
      <c r="A14" s="7" t="n">
        <v>46158</v>
      </c>
      <c r="B14" s="8" t="inlineStr">
        <is>
          <t>Shopping</t>
        </is>
      </c>
      <c r="C14" s="9" t="inlineStr">
        <is>
          <t>T-shirts</t>
        </is>
      </c>
      <c r="D14" s="8" t="inlineStr">
        <is>
          <t>Credit Card</t>
        </is>
      </c>
      <c r="E14" s="10" t="n">
        <v>38</v>
      </c>
      <c r="F14" s="9" t="inlineStr"/>
    </row>
    <row r="15">
      <c r="A15" s="7" t="n">
        <v>46160</v>
      </c>
      <c r="B15" s="8" t="inlineStr">
        <is>
          <t>Utilities</t>
        </is>
      </c>
      <c r="C15" s="9" t="inlineStr">
        <is>
          <t>Internet</t>
        </is>
      </c>
      <c r="D15" s="8" t="inlineStr">
        <is>
          <t>Bank Transfer</t>
        </is>
      </c>
      <c r="E15" s="10" t="n">
        <v>45</v>
      </c>
      <c r="F15" s="9" t="inlineStr"/>
    </row>
    <row r="16">
      <c r="A16" s="7" t="n">
        <v>46161</v>
      </c>
      <c r="B16" s="8" t="inlineStr">
        <is>
          <t>Dining Out</t>
        </is>
      </c>
      <c r="C16" s="9" t="inlineStr">
        <is>
          <t>Lunch at work</t>
        </is>
      </c>
      <c r="D16" s="8" t="inlineStr">
        <is>
          <t>Cash</t>
        </is>
      </c>
      <c r="E16" s="10" t="n">
        <v>12.8</v>
      </c>
      <c r="F16" s="9" t="inlineStr"/>
    </row>
    <row r="17">
      <c r="A17" s="7" t="n">
        <v>46162</v>
      </c>
      <c r="B17" s="8" t="inlineStr">
        <is>
          <t>Subscriptions</t>
        </is>
      </c>
      <c r="C17" s="9" t="inlineStr">
        <is>
          <t>Cloud storage</t>
        </is>
      </c>
      <c r="D17" s="8" t="inlineStr">
        <is>
          <t>Credit Card</t>
        </is>
      </c>
      <c r="E17" s="10" t="n">
        <v>9.99</v>
      </c>
      <c r="F17" s="9" t="inlineStr"/>
    </row>
    <row r="18">
      <c r="A18" s="7" t="n">
        <v>46164</v>
      </c>
      <c r="B18" s="8" t="inlineStr">
        <is>
          <t>Groceries</t>
        </is>
      </c>
      <c r="C18" s="9" t="inlineStr">
        <is>
          <t>Weekend shop</t>
        </is>
      </c>
      <c r="D18" s="8" t="inlineStr">
        <is>
          <t>Debit Card</t>
        </is>
      </c>
      <c r="E18" s="10" t="n">
        <v>71.65000000000001</v>
      </c>
      <c r="F18" s="9" t="inlineStr"/>
    </row>
    <row r="19">
      <c r="A19" s="7" t="n">
        <v>46165</v>
      </c>
      <c r="B19" s="8" t="inlineStr">
        <is>
          <t>Entertainment</t>
        </is>
      </c>
      <c r="C19" s="9" t="inlineStr">
        <is>
          <t>Concert ticket</t>
        </is>
      </c>
      <c r="D19" s="8" t="inlineStr">
        <is>
          <t>Credit Card</t>
        </is>
      </c>
      <c r="E19" s="10" t="n">
        <v>55</v>
      </c>
      <c r="F19" s="9" t="inlineStr"/>
    </row>
    <row r="20">
      <c r="A20" s="7" t="n">
        <v>46167</v>
      </c>
      <c r="B20" s="8" t="inlineStr">
        <is>
          <t>Transport</t>
        </is>
      </c>
      <c r="C20" s="9" t="inlineStr">
        <is>
          <t>Fuel</t>
        </is>
      </c>
      <c r="D20" s="8" t="inlineStr">
        <is>
          <t>Debit Card</t>
        </is>
      </c>
      <c r="E20" s="10" t="n">
        <v>48.2</v>
      </c>
      <c r="F20" s="9" t="inlineStr"/>
    </row>
    <row r="21">
      <c r="A21" s="7" t="n">
        <v>46169</v>
      </c>
      <c r="B21" s="8" t="inlineStr">
        <is>
          <t>Health</t>
        </is>
      </c>
      <c r="C21" s="9" t="inlineStr">
        <is>
          <t>Gym day pass</t>
        </is>
      </c>
      <c r="D21" s="8" t="inlineStr">
        <is>
          <t>Cash</t>
        </is>
      </c>
      <c r="E21" s="10" t="n">
        <v>10</v>
      </c>
      <c r="F21" s="9" t="inlineStr"/>
    </row>
    <row r="22">
      <c r="A22" s="7" t="n">
        <v>46171</v>
      </c>
      <c r="B22" s="8" t="inlineStr">
        <is>
          <t>Other</t>
        </is>
      </c>
      <c r="C22" s="9" t="inlineStr">
        <is>
          <t>Birthday gift</t>
        </is>
      </c>
      <c r="D22" s="8" t="inlineStr">
        <is>
          <t>Credit Card</t>
        </is>
      </c>
      <c r="E22" s="10" t="n">
        <v>30</v>
      </c>
      <c r="F22" s="9" t="inlineStr"/>
    </row>
    <row r="23">
      <c r="A23" s="7" t="n">
        <v>46172</v>
      </c>
      <c r="B23" s="8" t="inlineStr">
        <is>
          <t>Dining Out</t>
        </is>
      </c>
      <c r="C23" s="9" t="inlineStr">
        <is>
          <t>Family dinner</t>
        </is>
      </c>
      <c r="D23" s="8" t="inlineStr">
        <is>
          <t>Credit Card</t>
        </is>
      </c>
      <c r="E23" s="10" t="n">
        <v>62.45</v>
      </c>
      <c r="F23" s="9" t="inlineStr"/>
    </row>
  </sheetData>
  <dataValidations count="3">
    <dataValidation sqref="B2:B223" showDropDown="0" showInputMessage="0" showErrorMessage="1" allowBlank="1" errorTitle="Invalid category" error="Pick a category from the list (or add it on the Categories sheet)." type="list">
      <formula1>=CategoryList</formula1>
    </dataValidation>
    <dataValidation sqref="D2:D223" showDropDown="0" showInputMessage="0" showErrorMessage="0" allowBlank="1" type="list">
      <formula1>=PaymentList</formula1>
    </dataValidation>
    <dataValidation sqref="E2:E223" showDropDown="0" showInputMessage="0" showErrorMessage="1" allowBlank="1" errorTitle="Invalid amount" error="Amount must be a number greater than or equal to 0." type="decimal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1" t="inlineStr">
        <is>
          <t>Monthly Expense Summary</t>
        </is>
      </c>
    </row>
    <row r="3">
      <c r="A3" s="2" t="inlineStr">
        <is>
          <t>Reporting month</t>
        </is>
      </c>
      <c r="B3" s="11" t="n">
        <v>46143</v>
      </c>
    </row>
    <row r="4">
      <c r="A4" s="2" t="inlineStr">
        <is>
          <t>Last updated</t>
        </is>
      </c>
      <c r="B4" s="12">
        <f>TODAY()</f>
        <v/>
      </c>
    </row>
    <row r="6" ht="22" customHeight="1">
      <c r="A6" s="13" t="inlineStr">
        <is>
          <t>Total spent</t>
        </is>
      </c>
      <c r="C6" s="13" t="inlineStr">
        <is>
          <t>Number of expenses</t>
        </is>
      </c>
      <c r="E6" s="13" t="inlineStr">
        <is>
          <t>Average expense</t>
        </is>
      </c>
      <c r="G6" s="13" t="inlineStr">
        <is>
          <t>Largest expense</t>
        </is>
      </c>
    </row>
    <row r="7" ht="28" customHeight="1">
      <c r="A7" s="14">
        <f>SUM(ExpensesTbl[Amount])</f>
        <v/>
      </c>
      <c r="C7" s="15">
        <f>COUNTA(ExpensesTbl[Amount])</f>
        <v/>
      </c>
      <c r="E7" s="14">
        <f>IFERROR(AVERAGE(ExpensesTbl[Amount]),0)</f>
        <v/>
      </c>
      <c r="G7" s="14">
        <f>IFERROR(MAX(ExpensesTbl[Amount]),0)</f>
        <v/>
      </c>
    </row>
    <row r="10">
      <c r="A10" s="4" t="inlineStr">
        <is>
          <t>Spending by Category</t>
        </is>
      </c>
    </row>
    <row r="11">
      <c r="A11" s="6" t="inlineStr">
        <is>
          <t>Category</t>
        </is>
      </c>
      <c r="B11" s="6" t="inlineStr">
        <is>
          <t>Spent</t>
        </is>
      </c>
      <c r="C11" s="6" t="inlineStr">
        <is>
          <t>Budget</t>
        </is>
      </c>
      <c r="D11" s="6" t="inlineStr">
        <is>
          <t>Remaining</t>
        </is>
      </c>
      <c r="E11" s="6" t="inlineStr">
        <is>
          <t>% of Total</t>
        </is>
      </c>
    </row>
    <row r="12">
      <c r="A12" s="8" t="inlineStr">
        <is>
          <t>Rent</t>
        </is>
      </c>
      <c r="B12" s="10">
        <f>SUMIF(ExpensesTbl[Category],A12,ExpensesTbl[Amount])</f>
        <v/>
      </c>
      <c r="C12" s="10">
        <f>VLOOKUP(A12,Categories!$A$2:$B$11,2,FALSE)</f>
        <v/>
      </c>
      <c r="D12" s="10">
        <f>C12-B12</f>
        <v/>
      </c>
      <c r="E12" s="16">
        <f>IFERROR(B12/$A$7,0)</f>
        <v/>
      </c>
    </row>
    <row r="13">
      <c r="A13" s="8" t="inlineStr">
        <is>
          <t>Groceries</t>
        </is>
      </c>
      <c r="B13" s="10">
        <f>SUMIF(ExpensesTbl[Category],A13,ExpensesTbl[Amount])</f>
        <v/>
      </c>
      <c r="C13" s="10">
        <f>VLOOKUP(A13,Categories!$A$2:$B$11,2,FALSE)</f>
        <v/>
      </c>
      <c r="D13" s="10">
        <f>C13-B13</f>
        <v/>
      </c>
      <c r="E13" s="16">
        <f>IFERROR(B13/$A$7,0)</f>
        <v/>
      </c>
    </row>
    <row r="14">
      <c r="A14" s="8" t="inlineStr">
        <is>
          <t>Utilities</t>
        </is>
      </c>
      <c r="B14" s="10">
        <f>SUMIF(ExpensesTbl[Category],A14,ExpensesTbl[Amount])</f>
        <v/>
      </c>
      <c r="C14" s="10">
        <f>VLOOKUP(A14,Categories!$A$2:$B$11,2,FALSE)</f>
        <v/>
      </c>
      <c r="D14" s="10">
        <f>C14-B14</f>
        <v/>
      </c>
      <c r="E14" s="16">
        <f>IFERROR(B14/$A$7,0)</f>
        <v/>
      </c>
    </row>
    <row r="15">
      <c r="A15" s="8" t="inlineStr">
        <is>
          <t>Transport</t>
        </is>
      </c>
      <c r="B15" s="10">
        <f>SUMIF(ExpensesTbl[Category],A15,ExpensesTbl[Amount])</f>
        <v/>
      </c>
      <c r="C15" s="10">
        <f>VLOOKUP(A15,Categories!$A$2:$B$11,2,FALSE)</f>
        <v/>
      </c>
      <c r="D15" s="10">
        <f>C15-B15</f>
        <v/>
      </c>
      <c r="E15" s="16">
        <f>IFERROR(B15/$A$7,0)</f>
        <v/>
      </c>
    </row>
    <row r="16">
      <c r="A16" s="8" t="inlineStr">
        <is>
          <t>Dining Out</t>
        </is>
      </c>
      <c r="B16" s="10">
        <f>SUMIF(ExpensesTbl[Category],A16,ExpensesTbl[Amount])</f>
        <v/>
      </c>
      <c r="C16" s="10">
        <f>VLOOKUP(A16,Categories!$A$2:$B$11,2,FALSE)</f>
        <v/>
      </c>
      <c r="D16" s="10">
        <f>C16-B16</f>
        <v/>
      </c>
      <c r="E16" s="16">
        <f>IFERROR(B16/$A$7,0)</f>
        <v/>
      </c>
    </row>
    <row r="17">
      <c r="A17" s="8" t="inlineStr">
        <is>
          <t>Entertainment</t>
        </is>
      </c>
      <c r="B17" s="10">
        <f>SUMIF(ExpensesTbl[Category],A17,ExpensesTbl[Amount])</f>
        <v/>
      </c>
      <c r="C17" s="10">
        <f>VLOOKUP(A17,Categories!$A$2:$B$11,2,FALSE)</f>
        <v/>
      </c>
      <c r="D17" s="10">
        <f>C17-B17</f>
        <v/>
      </c>
      <c r="E17" s="16">
        <f>IFERROR(B17/$A$7,0)</f>
        <v/>
      </c>
    </row>
    <row r="18">
      <c r="A18" s="8" t="inlineStr">
        <is>
          <t>Health</t>
        </is>
      </c>
      <c r="B18" s="10">
        <f>SUMIF(ExpensesTbl[Category],A18,ExpensesTbl[Amount])</f>
        <v/>
      </c>
      <c r="C18" s="10">
        <f>VLOOKUP(A18,Categories!$A$2:$B$11,2,FALSE)</f>
        <v/>
      </c>
      <c r="D18" s="10">
        <f>C18-B18</f>
        <v/>
      </c>
      <c r="E18" s="16">
        <f>IFERROR(B18/$A$7,0)</f>
        <v/>
      </c>
    </row>
    <row r="19">
      <c r="A19" s="8" t="inlineStr">
        <is>
          <t>Shopping</t>
        </is>
      </c>
      <c r="B19" s="10">
        <f>SUMIF(ExpensesTbl[Category],A19,ExpensesTbl[Amount])</f>
        <v/>
      </c>
      <c r="C19" s="10">
        <f>VLOOKUP(A19,Categories!$A$2:$B$11,2,FALSE)</f>
        <v/>
      </c>
      <c r="D19" s="10">
        <f>C19-B19</f>
        <v/>
      </c>
      <c r="E19" s="16">
        <f>IFERROR(B19/$A$7,0)</f>
        <v/>
      </c>
    </row>
    <row r="20">
      <c r="A20" s="8" t="inlineStr">
        <is>
          <t>Subscriptions</t>
        </is>
      </c>
      <c r="B20" s="10">
        <f>SUMIF(ExpensesTbl[Category],A20,ExpensesTbl[Amount])</f>
        <v/>
      </c>
      <c r="C20" s="10">
        <f>VLOOKUP(A20,Categories!$A$2:$B$11,2,FALSE)</f>
        <v/>
      </c>
      <c r="D20" s="10">
        <f>C20-B20</f>
        <v/>
      </c>
      <c r="E20" s="16">
        <f>IFERROR(B20/$A$7,0)</f>
        <v/>
      </c>
    </row>
    <row r="21">
      <c r="A21" s="8" t="inlineStr">
        <is>
          <t>Other</t>
        </is>
      </c>
      <c r="B21" s="10">
        <f>SUMIF(ExpensesTbl[Category],A21,ExpensesTbl[Amount])</f>
        <v/>
      </c>
      <c r="C21" s="10">
        <f>VLOOKUP(A21,Categories!$A$2:$B$11,2,FALSE)</f>
        <v/>
      </c>
      <c r="D21" s="10">
        <f>C21-B21</f>
        <v/>
      </c>
      <c r="E21" s="16">
        <f>IFERROR(B21/$A$7,0)</f>
        <v/>
      </c>
    </row>
    <row r="22">
      <c r="A22" s="17" t="inlineStr">
        <is>
          <t>Total</t>
        </is>
      </c>
      <c r="B22" s="18">
        <f>SUM(B12:B21)</f>
        <v/>
      </c>
      <c r="C22" s="18">
        <f>SUM(C12:C21)</f>
        <v/>
      </c>
      <c r="D22" s="18">
        <f>SUM(D12:D21)</f>
        <v/>
      </c>
      <c r="E22" s="19">
        <f>SUM(E12:E21)</f>
        <v/>
      </c>
    </row>
    <row r="24">
      <c r="A24" s="2" t="inlineStr">
        <is>
          <t>Top spending category</t>
        </is>
      </c>
      <c r="B24" s="20">
        <f>INDEX(A12:A21,MATCH(MAX(B12:B21),B12:B21,0))</f>
        <v/>
      </c>
    </row>
    <row r="25">
      <c r="A25" s="2" t="inlineStr">
        <is>
          <t>Categories over budget</t>
        </is>
      </c>
      <c r="B25" s="21">
        <f>COUNTIF(D12:D21,"&lt;0")</f>
        <v/>
      </c>
    </row>
  </sheetData>
  <mergeCells count="9">
    <mergeCell ref="E6:F6"/>
    <mergeCell ref="C6:D6"/>
    <mergeCell ref="C7:D7"/>
    <mergeCell ref="A7:B7"/>
    <mergeCell ref="G7:H7"/>
    <mergeCell ref="E7:F7"/>
    <mergeCell ref="A1:F1"/>
    <mergeCell ref="G6:H6"/>
    <mergeCell ref="A6:B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4" max="4"/>
  </cols>
  <sheetData>
    <row r="1">
      <c r="A1" s="6" t="inlineStr">
        <is>
          <t>Category</t>
        </is>
      </c>
      <c r="B1" s="6" t="inlineStr">
        <is>
          <t>Monthly Budget</t>
        </is>
      </c>
      <c r="D1" s="6" t="inlineStr">
        <is>
          <t>Payment Method</t>
        </is>
      </c>
    </row>
    <row r="2">
      <c r="A2" s="9" t="inlineStr">
        <is>
          <t>Rent</t>
        </is>
      </c>
      <c r="B2" s="22" t="n">
        <v>1450</v>
      </c>
      <c r="D2" s="9" t="inlineStr">
        <is>
          <t>Cash</t>
        </is>
      </c>
    </row>
    <row r="3">
      <c r="A3" s="9" t="inlineStr">
        <is>
          <t>Groceries</t>
        </is>
      </c>
      <c r="B3" s="22" t="n">
        <v>450</v>
      </c>
      <c r="D3" s="9" t="inlineStr">
        <is>
          <t>Debit Card</t>
        </is>
      </c>
    </row>
    <row r="4">
      <c r="A4" s="9" t="inlineStr">
        <is>
          <t>Utilities</t>
        </is>
      </c>
      <c r="B4" s="22" t="n">
        <v>150</v>
      </c>
      <c r="D4" s="9" t="inlineStr">
        <is>
          <t>Credit Card</t>
        </is>
      </c>
    </row>
    <row r="5">
      <c r="A5" s="9" t="inlineStr">
        <is>
          <t>Transport</t>
        </is>
      </c>
      <c r="B5" s="22" t="n">
        <v>120</v>
      </c>
      <c r="D5" s="9" t="inlineStr">
        <is>
          <t>Bank Transfer</t>
        </is>
      </c>
    </row>
    <row r="6">
      <c r="A6" s="9" t="inlineStr">
        <is>
          <t>Dining Out</t>
        </is>
      </c>
      <c r="B6" s="22" t="n">
        <v>150</v>
      </c>
    </row>
    <row r="7">
      <c r="A7" s="9" t="inlineStr">
        <is>
          <t>Entertainment</t>
        </is>
      </c>
      <c r="B7" s="22" t="n">
        <v>80</v>
      </c>
    </row>
    <row r="8">
      <c r="A8" s="9" t="inlineStr">
        <is>
          <t>Health</t>
        </is>
      </c>
      <c r="B8" s="22" t="n">
        <v>60</v>
      </c>
    </row>
    <row r="9">
      <c r="A9" s="9" t="inlineStr">
        <is>
          <t>Shopping</t>
        </is>
      </c>
      <c r="B9" s="22" t="n">
        <v>100</v>
      </c>
    </row>
    <row r="10">
      <c r="A10" s="9" t="inlineStr">
        <is>
          <t>Subscriptions</t>
        </is>
      </c>
      <c r="B10" s="22" t="n">
        <v>30</v>
      </c>
    </row>
    <row r="11">
      <c r="A11" s="9" t="inlineStr">
        <is>
          <t>Other</t>
        </is>
      </c>
      <c r="B11" s="2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2026-05-03T20:53:44Z</dcterms:created>
  <dcterms:modified xsi:type="dcterms:W3CDTF">2026-05-03T20:53:44Z</dcterms:modified>
</cp:coreProperties>
</file>